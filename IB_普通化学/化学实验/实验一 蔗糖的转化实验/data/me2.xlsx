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User_Stuff\Documents\HUST_Notices\HUST_SFTBME_Courses_Resource\IB_普通化学\化学实验\实验一 蔗糖的转化实验\data\"/>
    </mc:Choice>
  </mc:AlternateContent>
  <xr:revisionPtr revIDLastSave="0" documentId="13_ncr:1_{032D89BA-B2AF-4F56-A514-4A27CE3C2BF8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2" i="2"/>
  <c r="D2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4" i="2"/>
  <c r="D5" i="2"/>
  <c r="D6" i="2"/>
  <c r="D7" i="2"/>
  <c r="D8" i="2"/>
  <c r="D9" i="2"/>
  <c r="D3" i="2"/>
</calcChain>
</file>

<file path=xl/sharedStrings.xml><?xml version="1.0" encoding="utf-8"?>
<sst xmlns="http://schemas.openxmlformats.org/spreadsheetml/2006/main" count="52" uniqueCount="14">
  <si>
    <t>data</t>
    <phoneticPr fontId="1" type="noConversion"/>
  </si>
  <si>
    <t>time</t>
    <phoneticPr fontId="1" type="noConversion"/>
  </si>
  <si>
    <t>mark</t>
    <phoneticPr fontId="1" type="noConversion"/>
  </si>
  <si>
    <t>final</t>
    <phoneticPr fontId="1" type="noConversion"/>
  </si>
  <si>
    <t>R</t>
  </si>
  <si>
    <t xml:space="preserve">R </t>
  </si>
  <si>
    <t>T</t>
  </si>
  <si>
    <t>Initial</t>
    <phoneticPr fontId="1" type="noConversion"/>
  </si>
  <si>
    <t>sec</t>
  </si>
  <si>
    <t>sec</t>
    <phoneticPr fontId="3" type="noConversion"/>
  </si>
  <si>
    <t>min</t>
  </si>
  <si>
    <t>min</t>
    <phoneticPr fontId="3" type="noConversion"/>
  </si>
  <si>
    <t>seca</t>
    <phoneticPr fontId="3" type="noConversion"/>
  </si>
  <si>
    <t>mina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</si>
</sst>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400]h:mm:ss\ AM/PM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opLeftCell="A38" workbookViewId="0">
      <selection sqref="A1:C64"/>
    </sheetView>
  </sheetViews>
  <sheetFormatPr defaultColWidth="9" defaultRowHeight="13.5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-3.899</v>
      </c>
      <c r="B2" s="1">
        <v>8.0023148148148149E-2</v>
      </c>
      <c r="C2" s="2" t="s">
        <v>3</v>
      </c>
    </row>
    <row r="3" spans="1:3" x14ac:dyDescent="0.3">
      <c r="A3">
        <v>-3.1</v>
      </c>
      <c r="B3" s="1">
        <v>7.9317129629629626E-2</v>
      </c>
    </row>
    <row r="4" spans="1:3" x14ac:dyDescent="0.3">
      <c r="A4">
        <v>-3.052</v>
      </c>
      <c r="B4" s="1">
        <v>7.8530092592592596E-2</v>
      </c>
    </row>
    <row r="5" spans="1:3" x14ac:dyDescent="0.3">
      <c r="A5">
        <v>-3.0030000000000001</v>
      </c>
      <c r="B5" s="1">
        <v>7.7708333333333338E-2</v>
      </c>
      <c r="C5" s="2" t="s">
        <v>4</v>
      </c>
    </row>
    <row r="6" spans="1:3" x14ac:dyDescent="0.3">
      <c r="A6">
        <v>6.2E-2</v>
      </c>
      <c r="B6" s="1">
        <v>7.7581018518518521E-2</v>
      </c>
      <c r="C6" s="2" t="s">
        <v>6</v>
      </c>
    </row>
    <row r="7" spans="1:3" x14ac:dyDescent="0.3">
      <c r="A7">
        <v>-2.758</v>
      </c>
      <c r="B7" s="1">
        <v>7.4988425925925931E-2</v>
      </c>
      <c r="C7" t="s">
        <v>5</v>
      </c>
    </row>
    <row r="8" spans="1:3" x14ac:dyDescent="0.3">
      <c r="A8">
        <v>1.9E-2</v>
      </c>
      <c r="B8" s="1">
        <v>7.4861111111111114E-2</v>
      </c>
      <c r="C8" t="s">
        <v>6</v>
      </c>
    </row>
    <row r="9" spans="1:3" x14ac:dyDescent="0.3">
      <c r="A9">
        <v>-2.7749999999999999</v>
      </c>
      <c r="B9" s="1">
        <v>7.4791666666666673E-2</v>
      </c>
    </row>
    <row r="10" spans="1:3" x14ac:dyDescent="0.3">
      <c r="A10">
        <v>-2.5249999999999999</v>
      </c>
      <c r="B10" s="1">
        <v>7.2384259259259259E-2</v>
      </c>
      <c r="C10" t="s">
        <v>4</v>
      </c>
    </row>
    <row r="11" spans="1:3" x14ac:dyDescent="0.3">
      <c r="A11">
        <v>7.2999999999999995E-2</v>
      </c>
      <c r="B11" s="1">
        <v>7.2384259259259259E-2</v>
      </c>
      <c r="C11" s="2" t="s">
        <v>6</v>
      </c>
    </row>
    <row r="12" spans="1:3" x14ac:dyDescent="0.3">
      <c r="A12">
        <v>-2.6080000000000001</v>
      </c>
      <c r="B12" s="1">
        <v>7.2187500000000002E-2</v>
      </c>
    </row>
    <row r="13" spans="1:3" x14ac:dyDescent="0.3">
      <c r="A13">
        <v>-2.5</v>
      </c>
      <c r="B13" s="1">
        <v>7.0983796296296295E-2</v>
      </c>
    </row>
    <row r="14" spans="1:3" x14ac:dyDescent="0.3">
      <c r="A14">
        <v>-2.2090000000000001</v>
      </c>
      <c r="B14" s="1">
        <v>6.8402777777777785E-2</v>
      </c>
      <c r="C14" t="s">
        <v>4</v>
      </c>
    </row>
    <row r="15" spans="1:3" x14ac:dyDescent="0.3">
      <c r="A15">
        <v>7.0000000000000007E-2</v>
      </c>
      <c r="B15" s="1">
        <v>6.8310185185185182E-2</v>
      </c>
      <c r="C15" t="s">
        <v>6</v>
      </c>
    </row>
    <row r="16" spans="1:3" x14ac:dyDescent="0.3">
      <c r="A16">
        <v>-2.1429999999999998</v>
      </c>
      <c r="B16" s="1">
        <v>6.8217592592592594E-2</v>
      </c>
    </row>
    <row r="17" spans="1:3" x14ac:dyDescent="0.3">
      <c r="A17">
        <v>-2.0030000000000001</v>
      </c>
      <c r="B17" s="1">
        <v>6.6932870370370365E-2</v>
      </c>
    </row>
    <row r="18" spans="1:3" x14ac:dyDescent="0.3">
      <c r="A18">
        <v>-1.895</v>
      </c>
      <c r="B18" s="1">
        <v>6.6053240740740746E-2</v>
      </c>
      <c r="C18" t="s">
        <v>4</v>
      </c>
    </row>
    <row r="19" spans="1:3" x14ac:dyDescent="0.3">
      <c r="A19">
        <v>8.3000000000000004E-2</v>
      </c>
      <c r="B19" s="1">
        <v>6.5995370370370371E-2</v>
      </c>
      <c r="C19" t="s">
        <v>6</v>
      </c>
    </row>
    <row r="20" spans="1:3" x14ac:dyDescent="0.3">
      <c r="A20">
        <v>-1.9630000000000001</v>
      </c>
      <c r="B20" s="1">
        <v>6.582175925925926E-2</v>
      </c>
    </row>
    <row r="21" spans="1:3" x14ac:dyDescent="0.3">
      <c r="A21">
        <v>-1.778</v>
      </c>
      <c r="B21" s="1">
        <v>6.4363425925925921E-2</v>
      </c>
    </row>
    <row r="22" spans="1:3" x14ac:dyDescent="0.3">
      <c r="A22">
        <v>-1.7070000000000001</v>
      </c>
      <c r="B22" s="1">
        <v>6.3877314814814817E-2</v>
      </c>
    </row>
    <row r="23" spans="1:3" x14ac:dyDescent="0.3">
      <c r="A23">
        <v>-1.607</v>
      </c>
      <c r="B23" s="1">
        <v>6.3090277777777773E-2</v>
      </c>
      <c r="C23" t="s">
        <v>5</v>
      </c>
    </row>
    <row r="24" spans="1:3" x14ac:dyDescent="0.3">
      <c r="A24">
        <v>1.2E-2</v>
      </c>
      <c r="B24" s="1">
        <v>6.3090277777777773E-2</v>
      </c>
      <c r="C24" t="s">
        <v>6</v>
      </c>
    </row>
    <row r="25" spans="1:3" x14ac:dyDescent="0.3">
      <c r="A25">
        <v>-1.5149999999999999</v>
      </c>
      <c r="B25" s="1">
        <v>6.2905092592592596E-2</v>
      </c>
    </row>
    <row r="26" spans="1:3" x14ac:dyDescent="0.3">
      <c r="A26">
        <v>-1.375</v>
      </c>
      <c r="B26" s="1">
        <v>6.1863425925925926E-2</v>
      </c>
      <c r="C26" t="s">
        <v>5</v>
      </c>
    </row>
    <row r="27" spans="1:3" x14ac:dyDescent="0.3">
      <c r="A27">
        <v>2.9000000000000001E-2</v>
      </c>
      <c r="B27" s="1">
        <v>6.1863425925925926E-2</v>
      </c>
      <c r="C27" t="s">
        <v>6</v>
      </c>
    </row>
    <row r="28" spans="1:3" x14ac:dyDescent="0.3">
      <c r="A28">
        <v>-1.339</v>
      </c>
      <c r="B28" s="1">
        <v>6.1539351851851852E-2</v>
      </c>
    </row>
    <row r="29" spans="1:3" x14ac:dyDescent="0.3">
      <c r="A29">
        <v>-1.1950000000000001</v>
      </c>
      <c r="B29" s="1">
        <v>6.0578703703703704E-2</v>
      </c>
    </row>
    <row r="30" spans="1:3" x14ac:dyDescent="0.3">
      <c r="A30">
        <v>-1.091</v>
      </c>
      <c r="B30" s="1">
        <v>6.0023148148148145E-2</v>
      </c>
    </row>
    <row r="31" spans="1:3" x14ac:dyDescent="0.3">
      <c r="A31">
        <v>-0.98899999999999999</v>
      </c>
      <c r="B31" s="1">
        <v>5.8796296296296298E-2</v>
      </c>
      <c r="C31" t="s">
        <v>5</v>
      </c>
    </row>
    <row r="32" spans="1:3" x14ac:dyDescent="0.3">
      <c r="A32">
        <v>0.17100000000000001</v>
      </c>
      <c r="B32" s="1">
        <v>5.8796296296296298E-2</v>
      </c>
      <c r="C32" t="s">
        <v>6</v>
      </c>
    </row>
    <row r="33" spans="1:2" x14ac:dyDescent="0.3">
      <c r="A33">
        <v>-1</v>
      </c>
      <c r="B33" s="1">
        <v>5.8657407407407408E-2</v>
      </c>
    </row>
    <row r="34" spans="1:2" x14ac:dyDescent="0.3">
      <c r="A34">
        <v>-0.5</v>
      </c>
      <c r="B34" s="1">
        <v>5.6018518518518516E-2</v>
      </c>
    </row>
    <row r="35" spans="1:2" x14ac:dyDescent="0.3">
      <c r="A35">
        <v>0</v>
      </c>
      <c r="B35" s="1">
        <v>5.3703703703703705E-2</v>
      </c>
    </row>
    <row r="36" spans="1:2" x14ac:dyDescent="0.3">
      <c r="A36">
        <v>0.42099999999999999</v>
      </c>
      <c r="B36" s="1">
        <v>5.2025462962962961E-2</v>
      </c>
    </row>
    <row r="37" spans="1:2" x14ac:dyDescent="0.3">
      <c r="A37">
        <v>0.98899999999999999</v>
      </c>
      <c r="B37" s="1">
        <v>4.9652777777777775E-2</v>
      </c>
    </row>
    <row r="38" spans="1:2" x14ac:dyDescent="0.3">
      <c r="A38">
        <v>1.5</v>
      </c>
      <c r="B38" s="1">
        <v>4.7743055555555552E-2</v>
      </c>
    </row>
    <row r="39" spans="1:2" x14ac:dyDescent="0.3">
      <c r="A39">
        <v>2</v>
      </c>
      <c r="B39" s="1">
        <v>4.6064814814814815E-2</v>
      </c>
    </row>
    <row r="40" spans="1:2" x14ac:dyDescent="0.3">
      <c r="A40">
        <v>2.3199999999999998</v>
      </c>
      <c r="B40" s="1">
        <v>4.5115740740740741E-2</v>
      </c>
    </row>
    <row r="41" spans="1:2" x14ac:dyDescent="0.3">
      <c r="A41">
        <v>2.5609999999999999</v>
      </c>
      <c r="B41" s="1">
        <v>4.4398148148148145E-2</v>
      </c>
    </row>
    <row r="42" spans="1:2" x14ac:dyDescent="0.3">
      <c r="A42">
        <v>3.3929999999999998</v>
      </c>
      <c r="B42" s="1">
        <v>4.1909722222222223E-2</v>
      </c>
    </row>
    <row r="43" spans="1:2" x14ac:dyDescent="0.3">
      <c r="A43">
        <v>3.7610000000000001</v>
      </c>
      <c r="B43" s="1">
        <v>4.0937500000000002E-2</v>
      </c>
    </row>
    <row r="44" spans="1:2" x14ac:dyDescent="0.3">
      <c r="A44">
        <v>4.0309999999999997</v>
      </c>
      <c r="B44" s="1">
        <v>4.0173611111111111E-2</v>
      </c>
    </row>
    <row r="45" spans="1:2" x14ac:dyDescent="0.3">
      <c r="A45">
        <v>4.266</v>
      </c>
      <c r="B45" s="1">
        <v>3.9583333333333331E-2</v>
      </c>
    </row>
    <row r="46" spans="1:2" x14ac:dyDescent="0.3">
      <c r="A46">
        <v>4.4859999999999998</v>
      </c>
      <c r="B46" s="1">
        <v>3.8993055555555559E-2</v>
      </c>
    </row>
    <row r="47" spans="1:2" x14ac:dyDescent="0.3">
      <c r="A47">
        <v>4.649</v>
      </c>
      <c r="B47" s="1">
        <v>3.8634259259259257E-2</v>
      </c>
    </row>
    <row r="48" spans="1:2" x14ac:dyDescent="0.3">
      <c r="A48">
        <v>4.8289999999999997</v>
      </c>
      <c r="B48" s="1">
        <v>3.8148148148148146E-2</v>
      </c>
    </row>
    <row r="49" spans="1:3" x14ac:dyDescent="0.3">
      <c r="A49">
        <v>5.2489999999999997</v>
      </c>
      <c r="B49" s="1">
        <v>3.7152777777777778E-2</v>
      </c>
    </row>
    <row r="50" spans="1:3" x14ac:dyDescent="0.3">
      <c r="A50">
        <v>5.609</v>
      </c>
      <c r="B50" s="1">
        <v>3.6319444444444446E-2</v>
      </c>
    </row>
    <row r="51" spans="1:3" x14ac:dyDescent="0.3">
      <c r="A51">
        <v>5.7370000000000001</v>
      </c>
      <c r="B51" s="1">
        <v>3.6041666666666666E-2</v>
      </c>
    </row>
    <row r="52" spans="1:3" x14ac:dyDescent="0.3">
      <c r="A52">
        <v>5.9290000000000003</v>
      </c>
      <c r="B52" s="1">
        <v>3.5624999999999997E-2</v>
      </c>
    </row>
    <row r="53" spans="1:3" x14ac:dyDescent="0.3">
      <c r="A53">
        <v>6</v>
      </c>
      <c r="B53" s="1">
        <v>3.5439814814814813E-2</v>
      </c>
    </row>
    <row r="54" spans="1:3" x14ac:dyDescent="0.3">
      <c r="A54">
        <v>6.2489999999999997</v>
      </c>
      <c r="B54" s="1">
        <v>3.4930555555555555E-2</v>
      </c>
    </row>
    <row r="55" spans="1:3" x14ac:dyDescent="0.3">
      <c r="A55">
        <v>6.4489999999999998</v>
      </c>
      <c r="B55" s="1">
        <v>3.4618055555555555E-2</v>
      </c>
    </row>
    <row r="56" spans="1:3" x14ac:dyDescent="0.3">
      <c r="A56">
        <v>6.5890000000000004</v>
      </c>
      <c r="B56" s="1">
        <v>3.4178240740740738E-2</v>
      </c>
    </row>
    <row r="57" spans="1:3" x14ac:dyDescent="0.3">
      <c r="A57">
        <v>6.7850000000000001</v>
      </c>
      <c r="B57" s="1">
        <v>3.3784722222222223E-2</v>
      </c>
    </row>
    <row r="58" spans="1:3" x14ac:dyDescent="0.3">
      <c r="A58">
        <v>7.2690000000000001</v>
      </c>
      <c r="B58" s="1">
        <v>3.2812500000000001E-2</v>
      </c>
    </row>
    <row r="59" spans="1:3" x14ac:dyDescent="0.3">
      <c r="A59">
        <v>7.3929999999999998</v>
      </c>
      <c r="B59" s="1">
        <v>3.2581018518518516E-2</v>
      </c>
    </row>
    <row r="60" spans="1:3" x14ac:dyDescent="0.3">
      <c r="A60">
        <v>7.6529999999999996</v>
      </c>
      <c r="B60" s="1">
        <v>3.2060185185185185E-2</v>
      </c>
    </row>
    <row r="61" spans="1:3" x14ac:dyDescent="0.3">
      <c r="A61">
        <v>7.9329999999999998</v>
      </c>
      <c r="B61" s="1">
        <v>3.1597222222222221E-2</v>
      </c>
    </row>
    <row r="62" spans="1:3" x14ac:dyDescent="0.3">
      <c r="A62">
        <v>8.5129999999999999</v>
      </c>
      <c r="B62" s="1">
        <v>3.0451388888888889E-2</v>
      </c>
    </row>
    <row r="63" spans="1:3" x14ac:dyDescent="0.3">
      <c r="A63">
        <v>8.8610000000000007</v>
      </c>
      <c r="B63" s="1">
        <v>2.9803240740740741E-2</v>
      </c>
    </row>
    <row r="64" spans="1:3" x14ac:dyDescent="0.3">
      <c r="A64">
        <v>10.297000000000001</v>
      </c>
      <c r="B64" s="1">
        <v>2.7442129629629629E-2</v>
      </c>
      <c r="C64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opLeftCell="A58" workbookViewId="0">
      <selection sqref="A1:H64"/>
    </sheetView>
  </sheetViews>
  <sheetFormatPr defaultColWidth="9" defaultRowHeight="13.5" x14ac:dyDescent="0.3"/>
  <cols>
    <col min="2" max="2" width="9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9</v>
      </c>
      <c r="F1" t="s">
        <v>8</v>
      </c>
      <c r="G1" s="2" t="s">
        <v>9</v>
      </c>
      <c r="H1" s="2" t="s">
        <v>11</v>
      </c>
    </row>
    <row r="2" spans="1:8" x14ac:dyDescent="0.3">
      <c r="A2">
        <v>-3.899</v>
      </c>
      <c r="B2" s="3">
        <v>8.0023148148148149E-2</v>
      </c>
      <c r="C2" s="2" t="s">
        <v>3</v>
      </c>
      <c r="D2" s="3">
        <f>B2-$B$64</f>
        <v>5.258101851851852E-2</v>
      </c>
      <c r="F2">
        <v>5.258101851851852E-2</v>
      </c>
      <c r="G2">
        <f>F2*86400</f>
        <v>4543</v>
      </c>
      <c r="H2">
        <f>G2/60</f>
        <v>75.716666666666669</v>
      </c>
    </row>
    <row r="3" spans="1:8" x14ac:dyDescent="0.3">
      <c r="A3">
        <v>-3.1</v>
      </c>
      <c r="B3" s="3">
        <v>7.9317129629629626E-2</v>
      </c>
      <c r="D3" s="3">
        <f>B3-$B$64</f>
        <v>5.1874999999999998E-2</v>
      </c>
      <c r="F3">
        <v>5.1874999999999998E-2</v>
      </c>
      <c r="G3">
        <f t="shared" ref="G3:G64" si="0">F3*86400</f>
        <v>4482</v>
      </c>
      <c r="H3">
        <f t="shared" ref="H3:H64" si="1">G3/60</f>
        <v>74.7</v>
      </c>
    </row>
    <row r="4" spans="1:8" x14ac:dyDescent="0.3">
      <c r="A4">
        <v>-3.052</v>
      </c>
      <c r="B4" s="3">
        <v>7.8530092592592596E-2</v>
      </c>
      <c r="D4" s="3">
        <f t="shared" ref="D4:F64" si="2">B4-$B$64</f>
        <v>5.1087962962962967E-2</v>
      </c>
      <c r="F4">
        <v>5.1087962962962967E-2</v>
      </c>
      <c r="G4">
        <f t="shared" si="0"/>
        <v>4414</v>
      </c>
      <c r="H4">
        <f t="shared" si="1"/>
        <v>73.566666666666663</v>
      </c>
    </row>
    <row r="5" spans="1:8" x14ac:dyDescent="0.3">
      <c r="A5">
        <v>-3.0030000000000001</v>
      </c>
      <c r="B5" s="3">
        <v>7.7708333333333338E-2</v>
      </c>
      <c r="C5" s="2" t="s">
        <v>4</v>
      </c>
      <c r="D5" s="3">
        <f t="shared" si="2"/>
        <v>5.0266203703703709E-2</v>
      </c>
      <c r="F5">
        <v>5.0266203703703709E-2</v>
      </c>
      <c r="G5">
        <f t="shared" si="0"/>
        <v>4343</v>
      </c>
      <c r="H5">
        <f t="shared" si="1"/>
        <v>72.38333333333334</v>
      </c>
    </row>
    <row r="6" spans="1:8" x14ac:dyDescent="0.3">
      <c r="A6">
        <v>6.2E-2</v>
      </c>
      <c r="B6" s="3">
        <v>7.7581018518518521E-2</v>
      </c>
      <c r="C6" s="2" t="s">
        <v>6</v>
      </c>
      <c r="D6" s="3">
        <f t="shared" si="2"/>
        <v>5.0138888888888893E-2</v>
      </c>
      <c r="F6">
        <v>5.0138888888888893E-2</v>
      </c>
      <c r="G6">
        <f t="shared" si="0"/>
        <v>4332</v>
      </c>
      <c r="H6">
        <f t="shared" si="1"/>
        <v>72.2</v>
      </c>
    </row>
    <row r="7" spans="1:8" x14ac:dyDescent="0.3">
      <c r="A7">
        <v>-2.758</v>
      </c>
      <c r="B7" s="3">
        <v>7.4988425925925931E-2</v>
      </c>
      <c r="C7" t="s">
        <v>5</v>
      </c>
      <c r="D7" s="3">
        <f t="shared" si="2"/>
        <v>4.7546296296296302E-2</v>
      </c>
      <c r="F7">
        <v>4.7546296296296302E-2</v>
      </c>
      <c r="G7">
        <f t="shared" si="0"/>
        <v>4108.0000000000009</v>
      </c>
      <c r="H7">
        <f t="shared" si="1"/>
        <v>68.466666666666683</v>
      </c>
    </row>
    <row r="8" spans="1:8" x14ac:dyDescent="0.3">
      <c r="A8">
        <v>1.9E-2</v>
      </c>
      <c r="B8" s="3">
        <v>7.4861111111111114E-2</v>
      </c>
      <c r="C8" t="s">
        <v>6</v>
      </c>
      <c r="D8" s="3">
        <f t="shared" si="2"/>
        <v>4.7418981481481486E-2</v>
      </c>
      <c r="F8">
        <v>4.7418981481481486E-2</v>
      </c>
      <c r="G8">
        <f t="shared" si="0"/>
        <v>4097</v>
      </c>
      <c r="H8">
        <f t="shared" si="1"/>
        <v>68.283333333333331</v>
      </c>
    </row>
    <row r="9" spans="1:8" x14ac:dyDescent="0.3">
      <c r="A9">
        <v>-2.7749999999999999</v>
      </c>
      <c r="B9" s="3">
        <v>7.4791666666666673E-2</v>
      </c>
      <c r="D9" s="3">
        <f t="shared" si="2"/>
        <v>4.7349537037037044E-2</v>
      </c>
      <c r="F9">
        <v>4.7349537037037044E-2</v>
      </c>
      <c r="G9">
        <f t="shared" si="0"/>
        <v>4091.0000000000005</v>
      </c>
      <c r="H9">
        <f t="shared" si="1"/>
        <v>68.183333333333337</v>
      </c>
    </row>
    <row r="10" spans="1:8" x14ac:dyDescent="0.3">
      <c r="A10">
        <v>-2.5249999999999999</v>
      </c>
      <c r="B10" s="3">
        <v>7.2384259259259259E-2</v>
      </c>
      <c r="C10" t="s">
        <v>4</v>
      </c>
      <c r="D10" s="3">
        <f t="shared" si="2"/>
        <v>4.494212962962963E-2</v>
      </c>
      <c r="F10">
        <v>4.494212962962963E-2</v>
      </c>
      <c r="G10">
        <f t="shared" si="0"/>
        <v>3883</v>
      </c>
      <c r="H10">
        <f t="shared" si="1"/>
        <v>64.716666666666669</v>
      </c>
    </row>
    <row r="11" spans="1:8" x14ac:dyDescent="0.3">
      <c r="A11">
        <v>7.2999999999999995E-2</v>
      </c>
      <c r="B11" s="3">
        <v>7.2384259259259259E-2</v>
      </c>
      <c r="C11" s="2" t="s">
        <v>6</v>
      </c>
      <c r="D11" s="3">
        <f t="shared" si="2"/>
        <v>4.494212962962963E-2</v>
      </c>
      <c r="F11">
        <v>4.494212962962963E-2</v>
      </c>
      <c r="G11">
        <f t="shared" si="0"/>
        <v>3883</v>
      </c>
      <c r="H11">
        <f t="shared" si="1"/>
        <v>64.716666666666669</v>
      </c>
    </row>
    <row r="12" spans="1:8" x14ac:dyDescent="0.3">
      <c r="A12">
        <v>-2.6080000000000001</v>
      </c>
      <c r="B12" s="3">
        <v>7.2187500000000002E-2</v>
      </c>
      <c r="D12" s="3">
        <f t="shared" si="2"/>
        <v>4.4745370370370373E-2</v>
      </c>
      <c r="F12">
        <v>4.4745370370370373E-2</v>
      </c>
      <c r="G12">
        <f t="shared" si="0"/>
        <v>3866</v>
      </c>
      <c r="H12">
        <f t="shared" si="1"/>
        <v>64.433333333333337</v>
      </c>
    </row>
    <row r="13" spans="1:8" x14ac:dyDescent="0.3">
      <c r="A13">
        <v>-2.5</v>
      </c>
      <c r="B13" s="3">
        <v>7.0983796296296295E-2</v>
      </c>
      <c r="D13" s="3">
        <f t="shared" si="2"/>
        <v>4.3541666666666666E-2</v>
      </c>
      <c r="F13">
        <v>4.3541666666666666E-2</v>
      </c>
      <c r="G13">
        <f t="shared" si="0"/>
        <v>3762</v>
      </c>
      <c r="H13">
        <f t="shared" si="1"/>
        <v>62.7</v>
      </c>
    </row>
    <row r="14" spans="1:8" x14ac:dyDescent="0.3">
      <c r="A14">
        <v>-2.2090000000000001</v>
      </c>
      <c r="B14" s="3">
        <v>6.8402777777777785E-2</v>
      </c>
      <c r="C14" t="s">
        <v>4</v>
      </c>
      <c r="D14" s="3">
        <f t="shared" si="2"/>
        <v>4.0960648148148156E-2</v>
      </c>
      <c r="F14">
        <v>4.0960648148148156E-2</v>
      </c>
      <c r="G14">
        <f t="shared" si="0"/>
        <v>3539.0000000000005</v>
      </c>
      <c r="H14">
        <f t="shared" si="1"/>
        <v>58.983333333333341</v>
      </c>
    </row>
    <row r="15" spans="1:8" x14ac:dyDescent="0.3">
      <c r="A15">
        <v>7.0000000000000007E-2</v>
      </c>
      <c r="B15" s="3">
        <v>6.8310185185185182E-2</v>
      </c>
      <c r="C15" t="s">
        <v>6</v>
      </c>
      <c r="D15" s="3">
        <f t="shared" si="2"/>
        <v>4.0868055555555553E-2</v>
      </c>
      <c r="F15">
        <v>4.0868055555555553E-2</v>
      </c>
      <c r="G15">
        <f t="shared" si="0"/>
        <v>3531</v>
      </c>
      <c r="H15">
        <f t="shared" si="1"/>
        <v>58.85</v>
      </c>
    </row>
    <row r="16" spans="1:8" x14ac:dyDescent="0.3">
      <c r="A16">
        <v>-2.1429999999999998</v>
      </c>
      <c r="B16" s="3">
        <v>6.8217592592592594E-2</v>
      </c>
      <c r="D16" s="3">
        <f t="shared" si="2"/>
        <v>4.0775462962962965E-2</v>
      </c>
      <c r="F16">
        <v>4.0775462962962965E-2</v>
      </c>
      <c r="G16">
        <f t="shared" si="0"/>
        <v>3523</v>
      </c>
      <c r="H16">
        <f t="shared" si="1"/>
        <v>58.716666666666669</v>
      </c>
    </row>
    <row r="17" spans="1:8" x14ac:dyDescent="0.3">
      <c r="A17">
        <v>-2.0030000000000001</v>
      </c>
      <c r="B17" s="3">
        <v>6.6932870370370365E-2</v>
      </c>
      <c r="D17" s="3">
        <f t="shared" si="2"/>
        <v>3.9490740740740736E-2</v>
      </c>
      <c r="F17">
        <v>3.9490740740740736E-2</v>
      </c>
      <c r="G17">
        <f t="shared" si="0"/>
        <v>3411.9999999999995</v>
      </c>
      <c r="H17">
        <f t="shared" si="1"/>
        <v>56.86666666666666</v>
      </c>
    </row>
    <row r="18" spans="1:8" x14ac:dyDescent="0.3">
      <c r="A18">
        <v>-1.895</v>
      </c>
      <c r="B18" s="3">
        <v>6.6053240740740746E-2</v>
      </c>
      <c r="C18" t="s">
        <v>4</v>
      </c>
      <c r="D18" s="3">
        <f t="shared" si="2"/>
        <v>3.8611111111111117E-2</v>
      </c>
      <c r="F18">
        <v>3.8611111111111117E-2</v>
      </c>
      <c r="G18">
        <f t="shared" si="0"/>
        <v>3336.0000000000005</v>
      </c>
      <c r="H18">
        <f t="shared" si="1"/>
        <v>55.600000000000009</v>
      </c>
    </row>
    <row r="19" spans="1:8" x14ac:dyDescent="0.3">
      <c r="A19">
        <v>8.3000000000000004E-2</v>
      </c>
      <c r="B19" s="3">
        <v>6.5995370370370371E-2</v>
      </c>
      <c r="C19" t="s">
        <v>6</v>
      </c>
      <c r="D19" s="3">
        <f t="shared" si="2"/>
        <v>3.8553240740740742E-2</v>
      </c>
      <c r="F19">
        <v>3.8553240740740742E-2</v>
      </c>
      <c r="G19">
        <f t="shared" si="0"/>
        <v>3331</v>
      </c>
      <c r="H19">
        <f t="shared" si="1"/>
        <v>55.516666666666666</v>
      </c>
    </row>
    <row r="20" spans="1:8" x14ac:dyDescent="0.3">
      <c r="A20">
        <v>-1.9630000000000001</v>
      </c>
      <c r="B20" s="3">
        <v>6.582175925925926E-2</v>
      </c>
      <c r="D20" s="3">
        <f t="shared" si="2"/>
        <v>3.8379629629629632E-2</v>
      </c>
      <c r="F20">
        <v>3.8379629629629632E-2</v>
      </c>
      <c r="G20">
        <f t="shared" si="0"/>
        <v>3316</v>
      </c>
      <c r="H20">
        <f t="shared" si="1"/>
        <v>55.266666666666666</v>
      </c>
    </row>
    <row r="21" spans="1:8" x14ac:dyDescent="0.3">
      <c r="A21">
        <v>-1.778</v>
      </c>
      <c r="B21" s="3">
        <v>6.4363425925925921E-2</v>
      </c>
      <c r="D21" s="3">
        <f t="shared" si="2"/>
        <v>3.6921296296296292E-2</v>
      </c>
      <c r="F21">
        <v>3.6921296296296292E-2</v>
      </c>
      <c r="G21">
        <f t="shared" si="0"/>
        <v>3189.9999999999995</v>
      </c>
      <c r="H21">
        <f t="shared" si="1"/>
        <v>53.166666666666657</v>
      </c>
    </row>
    <row r="22" spans="1:8" x14ac:dyDescent="0.3">
      <c r="A22">
        <v>-1.7070000000000001</v>
      </c>
      <c r="B22" s="3">
        <v>6.3877314814814817E-2</v>
      </c>
      <c r="D22" s="3">
        <f t="shared" si="2"/>
        <v>3.6435185185185189E-2</v>
      </c>
      <c r="F22">
        <v>3.6435185185185189E-2</v>
      </c>
      <c r="G22">
        <f t="shared" si="0"/>
        <v>3148.0000000000005</v>
      </c>
      <c r="H22">
        <f t="shared" si="1"/>
        <v>52.466666666666676</v>
      </c>
    </row>
    <row r="23" spans="1:8" x14ac:dyDescent="0.3">
      <c r="A23">
        <v>-1.607</v>
      </c>
      <c r="B23" s="3">
        <v>6.3090277777777773E-2</v>
      </c>
      <c r="C23" t="s">
        <v>5</v>
      </c>
      <c r="D23" s="3">
        <f t="shared" si="2"/>
        <v>3.5648148148148144E-2</v>
      </c>
      <c r="F23">
        <v>3.5648148148148144E-2</v>
      </c>
      <c r="G23">
        <f t="shared" si="0"/>
        <v>3079.9999999999995</v>
      </c>
      <c r="H23">
        <f t="shared" si="1"/>
        <v>51.333333333333329</v>
      </c>
    </row>
    <row r="24" spans="1:8" x14ac:dyDescent="0.3">
      <c r="A24">
        <v>1.2E-2</v>
      </c>
      <c r="B24" s="3">
        <v>6.3090277777777773E-2</v>
      </c>
      <c r="C24" t="s">
        <v>6</v>
      </c>
      <c r="D24" s="3">
        <f t="shared" si="2"/>
        <v>3.5648148148148144E-2</v>
      </c>
      <c r="F24">
        <v>3.5648148148148144E-2</v>
      </c>
      <c r="G24">
        <f t="shared" si="0"/>
        <v>3079.9999999999995</v>
      </c>
      <c r="H24">
        <f t="shared" si="1"/>
        <v>51.333333333333329</v>
      </c>
    </row>
    <row r="25" spans="1:8" x14ac:dyDescent="0.3">
      <c r="A25">
        <v>-1.5149999999999999</v>
      </c>
      <c r="B25" s="3">
        <v>6.2905092592592596E-2</v>
      </c>
      <c r="D25" s="3">
        <f t="shared" si="2"/>
        <v>3.5462962962962967E-2</v>
      </c>
      <c r="F25">
        <v>3.5462962962962967E-2</v>
      </c>
      <c r="G25">
        <f t="shared" si="0"/>
        <v>3064.0000000000005</v>
      </c>
      <c r="H25">
        <f t="shared" si="1"/>
        <v>51.066666666666677</v>
      </c>
    </row>
    <row r="26" spans="1:8" x14ac:dyDescent="0.3">
      <c r="A26">
        <v>-1.375</v>
      </c>
      <c r="B26" s="3">
        <v>6.1863425925925926E-2</v>
      </c>
      <c r="C26" t="s">
        <v>5</v>
      </c>
      <c r="D26" s="3">
        <f t="shared" si="2"/>
        <v>3.4421296296296297E-2</v>
      </c>
      <c r="F26">
        <v>3.4421296296296297E-2</v>
      </c>
      <c r="G26">
        <f t="shared" si="0"/>
        <v>2974</v>
      </c>
      <c r="H26">
        <f t="shared" si="1"/>
        <v>49.56666666666667</v>
      </c>
    </row>
    <row r="27" spans="1:8" x14ac:dyDescent="0.3">
      <c r="A27">
        <v>2.9000000000000001E-2</v>
      </c>
      <c r="B27" s="3">
        <v>6.1863425925925926E-2</v>
      </c>
      <c r="C27" t="s">
        <v>6</v>
      </c>
      <c r="D27" s="3">
        <f t="shared" si="2"/>
        <v>3.4421296296296297E-2</v>
      </c>
      <c r="F27">
        <v>3.4421296296296297E-2</v>
      </c>
      <c r="G27">
        <f t="shared" si="0"/>
        <v>2974</v>
      </c>
      <c r="H27">
        <f t="shared" si="1"/>
        <v>49.56666666666667</v>
      </c>
    </row>
    <row r="28" spans="1:8" x14ac:dyDescent="0.3">
      <c r="A28">
        <v>-1.339</v>
      </c>
      <c r="B28" s="3">
        <v>6.1539351851851852E-2</v>
      </c>
      <c r="D28" s="3">
        <f t="shared" si="2"/>
        <v>3.4097222222222223E-2</v>
      </c>
      <c r="F28">
        <v>3.4097222222222223E-2</v>
      </c>
      <c r="G28">
        <f t="shared" si="0"/>
        <v>2946</v>
      </c>
      <c r="H28">
        <f t="shared" si="1"/>
        <v>49.1</v>
      </c>
    </row>
    <row r="29" spans="1:8" x14ac:dyDescent="0.3">
      <c r="A29">
        <v>-1.1950000000000001</v>
      </c>
      <c r="B29" s="3">
        <v>6.0578703703703704E-2</v>
      </c>
      <c r="D29" s="3">
        <f t="shared" si="2"/>
        <v>3.3136574074074075E-2</v>
      </c>
      <c r="F29">
        <v>3.3136574074074075E-2</v>
      </c>
      <c r="G29">
        <f t="shared" si="0"/>
        <v>2863</v>
      </c>
      <c r="H29">
        <f t="shared" si="1"/>
        <v>47.716666666666669</v>
      </c>
    </row>
    <row r="30" spans="1:8" x14ac:dyDescent="0.3">
      <c r="A30">
        <v>-1.091</v>
      </c>
      <c r="B30" s="3">
        <v>6.0023148148148145E-2</v>
      </c>
      <c r="D30" s="3">
        <f t="shared" si="2"/>
        <v>3.2581018518518516E-2</v>
      </c>
      <c r="F30">
        <v>3.2581018518518516E-2</v>
      </c>
      <c r="G30">
        <f t="shared" si="0"/>
        <v>2815</v>
      </c>
      <c r="H30">
        <f t="shared" si="1"/>
        <v>46.916666666666664</v>
      </c>
    </row>
    <row r="31" spans="1:8" x14ac:dyDescent="0.3">
      <c r="A31">
        <v>-0.98899999999999999</v>
      </c>
      <c r="B31" s="3">
        <v>5.8796296296296298E-2</v>
      </c>
      <c r="C31" t="s">
        <v>5</v>
      </c>
      <c r="D31" s="3">
        <f t="shared" si="2"/>
        <v>3.1354166666666669E-2</v>
      </c>
      <c r="F31">
        <v>3.1354166666666669E-2</v>
      </c>
      <c r="G31">
        <f t="shared" si="0"/>
        <v>2709</v>
      </c>
      <c r="H31">
        <f t="shared" si="1"/>
        <v>45.15</v>
      </c>
    </row>
    <row r="32" spans="1:8" x14ac:dyDescent="0.3">
      <c r="A32">
        <v>0.17100000000000001</v>
      </c>
      <c r="B32" s="3">
        <v>5.8796296296296298E-2</v>
      </c>
      <c r="C32" t="s">
        <v>6</v>
      </c>
      <c r="D32" s="3">
        <f t="shared" si="2"/>
        <v>3.1354166666666669E-2</v>
      </c>
      <c r="F32">
        <v>3.1354166666666669E-2</v>
      </c>
      <c r="G32">
        <f t="shared" si="0"/>
        <v>2709</v>
      </c>
      <c r="H32">
        <f t="shared" si="1"/>
        <v>45.15</v>
      </c>
    </row>
    <row r="33" spans="1:8" x14ac:dyDescent="0.3">
      <c r="A33">
        <v>-1</v>
      </c>
      <c r="B33" s="3">
        <v>5.8657407407407408E-2</v>
      </c>
      <c r="D33" s="3">
        <f t="shared" si="2"/>
        <v>3.1215277777777779E-2</v>
      </c>
      <c r="F33">
        <v>3.1215277777777779E-2</v>
      </c>
      <c r="G33">
        <f t="shared" si="0"/>
        <v>2697</v>
      </c>
      <c r="H33">
        <f t="shared" si="1"/>
        <v>44.95</v>
      </c>
    </row>
    <row r="34" spans="1:8" x14ac:dyDescent="0.3">
      <c r="A34">
        <v>-0.5</v>
      </c>
      <c r="B34" s="3">
        <v>5.6018518518518516E-2</v>
      </c>
      <c r="D34" s="3">
        <f t="shared" si="2"/>
        <v>2.8576388888888887E-2</v>
      </c>
      <c r="F34">
        <v>2.8576388888888887E-2</v>
      </c>
      <c r="G34">
        <f t="shared" si="0"/>
        <v>2469</v>
      </c>
      <c r="H34">
        <f t="shared" si="1"/>
        <v>41.15</v>
      </c>
    </row>
    <row r="35" spans="1:8" x14ac:dyDescent="0.3">
      <c r="A35">
        <v>0</v>
      </c>
      <c r="B35" s="3">
        <v>5.3703703703703705E-2</v>
      </c>
      <c r="D35" s="3">
        <f t="shared" si="2"/>
        <v>2.6261574074074076E-2</v>
      </c>
      <c r="F35">
        <v>2.6261574074074076E-2</v>
      </c>
      <c r="G35">
        <f t="shared" si="0"/>
        <v>2269</v>
      </c>
      <c r="H35">
        <f t="shared" si="1"/>
        <v>37.81666666666667</v>
      </c>
    </row>
    <row r="36" spans="1:8" x14ac:dyDescent="0.3">
      <c r="A36">
        <v>0.42099999999999999</v>
      </c>
      <c r="B36" s="3">
        <v>5.2025462962962961E-2</v>
      </c>
      <c r="D36" s="3">
        <f t="shared" si="2"/>
        <v>2.4583333333333332E-2</v>
      </c>
      <c r="F36">
        <v>2.4583333333333332E-2</v>
      </c>
      <c r="G36">
        <f t="shared" si="0"/>
        <v>2124</v>
      </c>
      <c r="H36">
        <f t="shared" si="1"/>
        <v>35.4</v>
      </c>
    </row>
    <row r="37" spans="1:8" x14ac:dyDescent="0.3">
      <c r="A37">
        <v>0.98899999999999999</v>
      </c>
      <c r="B37" s="3">
        <v>4.9652777777777775E-2</v>
      </c>
      <c r="D37" s="3">
        <f t="shared" si="2"/>
        <v>2.2210648148148146E-2</v>
      </c>
      <c r="F37">
        <v>2.2210648148148146E-2</v>
      </c>
      <c r="G37">
        <f t="shared" si="0"/>
        <v>1918.9999999999998</v>
      </c>
      <c r="H37">
        <f t="shared" si="1"/>
        <v>31.983333333333331</v>
      </c>
    </row>
    <row r="38" spans="1:8" x14ac:dyDescent="0.3">
      <c r="A38">
        <v>1.5</v>
      </c>
      <c r="B38" s="3">
        <v>4.7743055555555552E-2</v>
      </c>
      <c r="D38" s="3">
        <f t="shared" si="2"/>
        <v>2.0300925925925924E-2</v>
      </c>
      <c r="F38">
        <v>2.0300925925925924E-2</v>
      </c>
      <c r="G38">
        <f t="shared" si="0"/>
        <v>1753.9999999999998</v>
      </c>
      <c r="H38">
        <f t="shared" si="1"/>
        <v>29.233333333333331</v>
      </c>
    </row>
    <row r="39" spans="1:8" x14ac:dyDescent="0.3">
      <c r="A39">
        <v>2</v>
      </c>
      <c r="B39" s="3">
        <v>4.6064814814814815E-2</v>
      </c>
      <c r="D39" s="3">
        <f t="shared" si="2"/>
        <v>1.8622685185185187E-2</v>
      </c>
      <c r="F39">
        <v>1.8622685185185187E-2</v>
      </c>
      <c r="G39">
        <f t="shared" si="0"/>
        <v>1609.0000000000002</v>
      </c>
      <c r="H39">
        <f t="shared" si="1"/>
        <v>26.81666666666667</v>
      </c>
    </row>
    <row r="40" spans="1:8" x14ac:dyDescent="0.3">
      <c r="A40">
        <v>2.3199999999999998</v>
      </c>
      <c r="B40" s="3">
        <v>4.5115740740740741E-2</v>
      </c>
      <c r="D40" s="3">
        <f t="shared" si="2"/>
        <v>1.7673611111111112E-2</v>
      </c>
      <c r="F40">
        <v>1.7673611111111112E-2</v>
      </c>
      <c r="G40">
        <f t="shared" si="0"/>
        <v>1527</v>
      </c>
      <c r="H40">
        <f t="shared" si="1"/>
        <v>25.45</v>
      </c>
    </row>
    <row r="41" spans="1:8" x14ac:dyDescent="0.3">
      <c r="A41">
        <v>2.5609999999999999</v>
      </c>
      <c r="B41" s="3">
        <v>4.4398148148148145E-2</v>
      </c>
      <c r="D41" s="3">
        <f t="shared" si="2"/>
        <v>1.6956018518518516E-2</v>
      </c>
      <c r="F41">
        <v>1.6956018518518516E-2</v>
      </c>
      <c r="G41">
        <f t="shared" si="0"/>
        <v>1464.9999999999998</v>
      </c>
      <c r="H41">
        <f t="shared" si="1"/>
        <v>24.416666666666664</v>
      </c>
    </row>
    <row r="42" spans="1:8" x14ac:dyDescent="0.3">
      <c r="A42">
        <v>3.3929999999999998</v>
      </c>
      <c r="B42" s="3">
        <v>4.1909722222222223E-2</v>
      </c>
      <c r="D42" s="3">
        <f t="shared" si="2"/>
        <v>1.4467592592592594E-2</v>
      </c>
      <c r="F42">
        <v>1.4467592592592594E-2</v>
      </c>
      <c r="G42">
        <f t="shared" si="0"/>
        <v>1250.0000000000002</v>
      </c>
      <c r="H42">
        <f t="shared" si="1"/>
        <v>20.833333333333336</v>
      </c>
    </row>
    <row r="43" spans="1:8" x14ac:dyDescent="0.3">
      <c r="A43">
        <v>3.7610000000000001</v>
      </c>
      <c r="B43" s="3">
        <v>4.0937500000000002E-2</v>
      </c>
      <c r="D43" s="3">
        <f t="shared" si="2"/>
        <v>1.3495370370370373E-2</v>
      </c>
      <c r="F43">
        <v>1.3495370370370373E-2</v>
      </c>
      <c r="G43">
        <f t="shared" si="0"/>
        <v>1166.0000000000002</v>
      </c>
      <c r="H43">
        <f t="shared" si="1"/>
        <v>19.433333333333337</v>
      </c>
    </row>
    <row r="44" spans="1:8" x14ac:dyDescent="0.3">
      <c r="A44">
        <v>4.0309999999999997</v>
      </c>
      <c r="B44" s="3">
        <v>4.0173611111111111E-2</v>
      </c>
      <c r="D44" s="3">
        <f t="shared" si="2"/>
        <v>1.2731481481481483E-2</v>
      </c>
      <c r="F44">
        <v>1.2731481481481483E-2</v>
      </c>
      <c r="G44">
        <f t="shared" si="0"/>
        <v>1100</v>
      </c>
      <c r="H44">
        <f t="shared" si="1"/>
        <v>18.333333333333332</v>
      </c>
    </row>
    <row r="45" spans="1:8" x14ac:dyDescent="0.3">
      <c r="A45">
        <v>4.266</v>
      </c>
      <c r="B45" s="3">
        <v>3.9583333333333331E-2</v>
      </c>
      <c r="D45" s="3">
        <f t="shared" si="2"/>
        <v>1.2141203703703703E-2</v>
      </c>
      <c r="F45">
        <v>1.2141203703703703E-2</v>
      </c>
      <c r="G45">
        <f t="shared" si="0"/>
        <v>1049</v>
      </c>
      <c r="H45">
        <f t="shared" si="1"/>
        <v>17.483333333333334</v>
      </c>
    </row>
    <row r="46" spans="1:8" x14ac:dyDescent="0.3">
      <c r="A46">
        <v>4.4859999999999998</v>
      </c>
      <c r="B46" s="3">
        <v>3.8993055555555559E-2</v>
      </c>
      <c r="D46" s="3">
        <f t="shared" si="2"/>
        <v>1.155092592592593E-2</v>
      </c>
      <c r="F46">
        <v>1.155092592592593E-2</v>
      </c>
      <c r="G46">
        <f t="shared" si="0"/>
        <v>998.00000000000034</v>
      </c>
      <c r="H46">
        <f t="shared" si="1"/>
        <v>16.63333333333334</v>
      </c>
    </row>
    <row r="47" spans="1:8" x14ac:dyDescent="0.3">
      <c r="A47">
        <v>4.649</v>
      </c>
      <c r="B47" s="3">
        <v>3.8634259259259257E-2</v>
      </c>
      <c r="D47" s="3">
        <f t="shared" si="2"/>
        <v>1.1192129629629628E-2</v>
      </c>
      <c r="F47">
        <v>1.1192129629629628E-2</v>
      </c>
      <c r="G47">
        <f t="shared" si="0"/>
        <v>966.99999999999989</v>
      </c>
      <c r="H47">
        <f t="shared" si="1"/>
        <v>16.116666666666664</v>
      </c>
    </row>
    <row r="48" spans="1:8" x14ac:dyDescent="0.3">
      <c r="A48">
        <v>4.8289999999999997</v>
      </c>
      <c r="B48" s="3">
        <v>3.8148148148148146E-2</v>
      </c>
      <c r="D48" s="3">
        <f t="shared" si="2"/>
        <v>1.0706018518518517E-2</v>
      </c>
      <c r="F48">
        <v>1.0706018518518517E-2</v>
      </c>
      <c r="G48">
        <f t="shared" si="0"/>
        <v>924.99999999999989</v>
      </c>
      <c r="H48">
        <f t="shared" si="1"/>
        <v>15.416666666666664</v>
      </c>
    </row>
    <row r="49" spans="1:8" x14ac:dyDescent="0.3">
      <c r="A49">
        <v>5.2489999999999997</v>
      </c>
      <c r="B49" s="3">
        <v>3.7152777777777778E-2</v>
      </c>
      <c r="D49" s="3">
        <f t="shared" si="2"/>
        <v>9.7106481481481488E-3</v>
      </c>
      <c r="F49">
        <v>9.7106481481481488E-3</v>
      </c>
      <c r="G49">
        <f t="shared" si="0"/>
        <v>839</v>
      </c>
      <c r="H49">
        <f t="shared" si="1"/>
        <v>13.983333333333333</v>
      </c>
    </row>
    <row r="50" spans="1:8" x14ac:dyDescent="0.3">
      <c r="A50">
        <v>5.609</v>
      </c>
      <c r="B50" s="3">
        <v>3.6319444444444446E-2</v>
      </c>
      <c r="D50" s="3">
        <f t="shared" si="2"/>
        <v>8.877314814814817E-3</v>
      </c>
      <c r="F50">
        <v>8.877314814814817E-3</v>
      </c>
      <c r="G50">
        <f t="shared" si="0"/>
        <v>767.00000000000023</v>
      </c>
      <c r="H50">
        <f t="shared" si="1"/>
        <v>12.783333333333337</v>
      </c>
    </row>
    <row r="51" spans="1:8" x14ac:dyDescent="0.3">
      <c r="A51">
        <v>5.7370000000000001</v>
      </c>
      <c r="B51" s="3">
        <v>3.6041666666666666E-2</v>
      </c>
      <c r="D51" s="3">
        <f t="shared" si="2"/>
        <v>8.5995370370370375E-3</v>
      </c>
      <c r="F51">
        <v>8.5995370370370375E-3</v>
      </c>
      <c r="G51">
        <f t="shared" si="0"/>
        <v>743</v>
      </c>
      <c r="H51">
        <f t="shared" si="1"/>
        <v>12.383333333333333</v>
      </c>
    </row>
    <row r="52" spans="1:8" x14ac:dyDescent="0.3">
      <c r="A52">
        <v>5.9290000000000003</v>
      </c>
      <c r="B52" s="3">
        <v>3.5624999999999997E-2</v>
      </c>
      <c r="D52" s="3">
        <f t="shared" si="2"/>
        <v>8.1828703703703681E-3</v>
      </c>
      <c r="F52">
        <v>8.1828703703703681E-3</v>
      </c>
      <c r="G52">
        <f t="shared" si="0"/>
        <v>706.99999999999977</v>
      </c>
      <c r="H52">
        <f t="shared" si="1"/>
        <v>11.78333333333333</v>
      </c>
    </row>
    <row r="53" spans="1:8" x14ac:dyDescent="0.3">
      <c r="A53">
        <v>6</v>
      </c>
      <c r="B53" s="3">
        <v>3.5439814814814813E-2</v>
      </c>
      <c r="D53" s="3">
        <f t="shared" si="2"/>
        <v>7.9976851851851841E-3</v>
      </c>
      <c r="F53">
        <v>7.9976851851851841E-3</v>
      </c>
      <c r="G53">
        <f t="shared" si="0"/>
        <v>690.99999999999989</v>
      </c>
      <c r="H53">
        <f t="shared" si="1"/>
        <v>11.516666666666664</v>
      </c>
    </row>
    <row r="54" spans="1:8" x14ac:dyDescent="0.3">
      <c r="A54">
        <v>6.2489999999999997</v>
      </c>
      <c r="B54" s="3">
        <v>3.4930555555555555E-2</v>
      </c>
      <c r="D54" s="3">
        <f t="shared" si="2"/>
        <v>7.4884259259259262E-3</v>
      </c>
      <c r="F54">
        <v>7.4884259259259262E-3</v>
      </c>
      <c r="G54">
        <f t="shared" si="0"/>
        <v>647</v>
      </c>
      <c r="H54">
        <f t="shared" si="1"/>
        <v>10.783333333333333</v>
      </c>
    </row>
    <row r="55" spans="1:8" x14ac:dyDescent="0.3">
      <c r="A55">
        <v>6.4489999999999998</v>
      </c>
      <c r="B55" s="3">
        <v>3.4618055555555555E-2</v>
      </c>
      <c r="D55" s="3">
        <f t="shared" si="2"/>
        <v>7.1759259259259259E-3</v>
      </c>
      <c r="F55">
        <v>7.1759259259259259E-3</v>
      </c>
      <c r="G55">
        <f t="shared" si="0"/>
        <v>620</v>
      </c>
      <c r="H55">
        <f t="shared" si="1"/>
        <v>10.333333333333334</v>
      </c>
    </row>
    <row r="56" spans="1:8" x14ac:dyDescent="0.3">
      <c r="A56">
        <v>6.5890000000000004</v>
      </c>
      <c r="B56" s="3">
        <v>3.4178240740740738E-2</v>
      </c>
      <c r="D56" s="3">
        <f t="shared" si="2"/>
        <v>6.7361111111111094E-3</v>
      </c>
      <c r="F56">
        <v>6.7361111111111094E-3</v>
      </c>
      <c r="G56">
        <f t="shared" si="0"/>
        <v>581.99999999999989</v>
      </c>
      <c r="H56">
        <f t="shared" si="1"/>
        <v>9.6999999999999975</v>
      </c>
    </row>
    <row r="57" spans="1:8" x14ac:dyDescent="0.3">
      <c r="A57">
        <v>6.7850000000000001</v>
      </c>
      <c r="B57" s="3">
        <v>3.3784722222222223E-2</v>
      </c>
      <c r="D57" s="3">
        <f t="shared" si="2"/>
        <v>6.3425925925925941E-3</v>
      </c>
      <c r="F57">
        <v>6.3425925925925941E-3</v>
      </c>
      <c r="G57">
        <f t="shared" si="0"/>
        <v>548.00000000000011</v>
      </c>
      <c r="H57">
        <f t="shared" si="1"/>
        <v>9.1333333333333346</v>
      </c>
    </row>
    <row r="58" spans="1:8" x14ac:dyDescent="0.3">
      <c r="A58">
        <v>7.2690000000000001</v>
      </c>
      <c r="B58" s="3">
        <v>3.2812500000000001E-2</v>
      </c>
      <c r="D58" s="3">
        <f t="shared" si="2"/>
        <v>5.3703703703703726E-3</v>
      </c>
      <c r="F58">
        <v>5.3703703703703726E-3</v>
      </c>
      <c r="G58">
        <f t="shared" si="0"/>
        <v>464.00000000000017</v>
      </c>
      <c r="H58">
        <f t="shared" si="1"/>
        <v>7.7333333333333361</v>
      </c>
    </row>
    <row r="59" spans="1:8" x14ac:dyDescent="0.3">
      <c r="A59">
        <v>7.3929999999999998</v>
      </c>
      <c r="B59" s="3">
        <v>3.2581018518518516E-2</v>
      </c>
      <c r="D59" s="3">
        <f t="shared" si="2"/>
        <v>5.1388888888888873E-3</v>
      </c>
      <c r="F59">
        <v>5.1388888888888873E-3</v>
      </c>
      <c r="G59">
        <f t="shared" si="0"/>
        <v>443.99999999999989</v>
      </c>
      <c r="H59">
        <f t="shared" si="1"/>
        <v>7.3999999999999977</v>
      </c>
    </row>
    <row r="60" spans="1:8" x14ac:dyDescent="0.3">
      <c r="A60">
        <v>7.6529999999999996</v>
      </c>
      <c r="B60" s="3">
        <v>3.2060185185185185E-2</v>
      </c>
      <c r="D60" s="3">
        <f t="shared" si="2"/>
        <v>4.6180555555555558E-3</v>
      </c>
      <c r="F60">
        <v>4.6180555555555558E-3</v>
      </c>
      <c r="G60">
        <f t="shared" si="0"/>
        <v>399</v>
      </c>
      <c r="H60">
        <f t="shared" si="1"/>
        <v>6.65</v>
      </c>
    </row>
    <row r="61" spans="1:8" x14ac:dyDescent="0.3">
      <c r="A61">
        <v>7.9329999999999998</v>
      </c>
      <c r="B61" s="3">
        <v>3.1597222222222221E-2</v>
      </c>
      <c r="D61" s="3">
        <f t="shared" si="2"/>
        <v>4.1550925925925922E-3</v>
      </c>
      <c r="F61">
        <v>4.1550925925925922E-3</v>
      </c>
      <c r="G61">
        <f t="shared" si="0"/>
        <v>358.99999999999994</v>
      </c>
      <c r="H61">
        <f t="shared" si="1"/>
        <v>5.9833333333333325</v>
      </c>
    </row>
    <row r="62" spans="1:8" x14ac:dyDescent="0.3">
      <c r="A62">
        <v>8.5129999999999999</v>
      </c>
      <c r="B62" s="3">
        <v>3.0451388888888889E-2</v>
      </c>
      <c r="D62" s="3">
        <f t="shared" si="2"/>
        <v>3.0092592592592601E-3</v>
      </c>
      <c r="F62">
        <v>3.0092592592592601E-3</v>
      </c>
      <c r="G62">
        <f t="shared" si="0"/>
        <v>260.00000000000006</v>
      </c>
      <c r="H62">
        <f t="shared" si="1"/>
        <v>4.3333333333333339</v>
      </c>
    </row>
    <row r="63" spans="1:8" x14ac:dyDescent="0.3">
      <c r="A63">
        <v>8.8610000000000007</v>
      </c>
      <c r="B63" s="3">
        <v>2.9803240740740741E-2</v>
      </c>
      <c r="D63" s="3">
        <f t="shared" si="2"/>
        <v>2.3611111111111124E-3</v>
      </c>
      <c r="F63">
        <v>2.3611111111111124E-3</v>
      </c>
      <c r="G63">
        <f t="shared" si="0"/>
        <v>204.00000000000011</v>
      </c>
      <c r="H63">
        <f t="shared" si="1"/>
        <v>3.4000000000000017</v>
      </c>
    </row>
    <row r="64" spans="1:8" x14ac:dyDescent="0.3">
      <c r="A64">
        <v>10.297000000000001</v>
      </c>
      <c r="B64" s="3">
        <v>2.7442129629629629E-2</v>
      </c>
      <c r="C64" s="2" t="s">
        <v>7</v>
      </c>
      <c r="D64" s="3">
        <f t="shared" si="2"/>
        <v>0</v>
      </c>
      <c r="F64">
        <v>0</v>
      </c>
      <c r="G64">
        <f t="shared" si="0"/>
        <v>0</v>
      </c>
      <c r="H64">
        <f t="shared" si="1"/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workbookViewId="0">
      <selection activeCell="E1" activeCellId="1" sqref="A1:A1048576 E1:E1048576"/>
    </sheetView>
  </sheetViews>
  <sheetFormatPr defaultColWidth="9" defaultRowHeight="13.5" x14ac:dyDescent="0.3"/>
  <sheetData>
    <row r="1" spans="1:9" x14ac:dyDescent="0.3">
      <c r="A1" s="2" t="s">
        <v>0</v>
      </c>
      <c r="B1" t="s">
        <v>8</v>
      </c>
      <c r="C1" t="s">
        <v>10</v>
      </c>
      <c r="D1" s="2" t="s">
        <v>12</v>
      </c>
      <c r="E1" s="2" t="s">
        <v>13</v>
      </c>
      <c r="F1" s="2"/>
    </row>
    <row r="2" spans="1:9" x14ac:dyDescent="0.3">
      <c r="A2">
        <v>-3.1</v>
      </c>
      <c r="B2">
        <v>4482</v>
      </c>
      <c r="C2">
        <v>74.7</v>
      </c>
      <c r="D2">
        <f>B2+180</f>
        <v>4662</v>
      </c>
      <c r="E2">
        <f>C2+3</f>
        <v>77.7</v>
      </c>
      <c r="G2">
        <v>-3.899</v>
      </c>
      <c r="H2" s="3"/>
      <c r="I2" s="2" t="s">
        <v>3</v>
      </c>
    </row>
    <row r="3" spans="1:9" x14ac:dyDescent="0.3">
      <c r="A3">
        <v>-3.052</v>
      </c>
      <c r="B3">
        <v>4414</v>
      </c>
      <c r="C3">
        <v>73.566666666666663</v>
      </c>
      <c r="D3">
        <f t="shared" ref="D3:D57" si="0">B3+180</f>
        <v>4594</v>
      </c>
      <c r="E3">
        <f t="shared" ref="E3:E57" si="1">C3+3</f>
        <v>76.566666666666663</v>
      </c>
    </row>
    <row r="4" spans="1:9" x14ac:dyDescent="0.3">
      <c r="A4">
        <v>-3.0030000000000001</v>
      </c>
      <c r="B4">
        <v>4343</v>
      </c>
      <c r="C4">
        <v>72.38333333333334</v>
      </c>
      <c r="D4">
        <f t="shared" si="0"/>
        <v>4523</v>
      </c>
      <c r="E4">
        <f t="shared" si="1"/>
        <v>75.38333333333334</v>
      </c>
    </row>
    <row r="5" spans="1:9" x14ac:dyDescent="0.3">
      <c r="A5">
        <v>-2.758</v>
      </c>
      <c r="B5">
        <v>4108.0000000000009</v>
      </c>
      <c r="C5">
        <v>68.466666666666683</v>
      </c>
      <c r="D5">
        <f t="shared" si="0"/>
        <v>4288.0000000000009</v>
      </c>
      <c r="E5">
        <f t="shared" si="1"/>
        <v>71.466666666666683</v>
      </c>
    </row>
    <row r="6" spans="1:9" x14ac:dyDescent="0.3">
      <c r="A6">
        <v>-2.7749999999999999</v>
      </c>
      <c r="B6">
        <v>4091.0000000000005</v>
      </c>
      <c r="C6">
        <v>68.183333333333337</v>
      </c>
      <c r="D6">
        <f t="shared" si="0"/>
        <v>4271</v>
      </c>
      <c r="E6">
        <f t="shared" si="1"/>
        <v>71.183333333333337</v>
      </c>
    </row>
    <row r="7" spans="1:9" x14ac:dyDescent="0.3">
      <c r="A7">
        <v>-2.5249999999999999</v>
      </c>
      <c r="B7">
        <v>3883</v>
      </c>
      <c r="C7">
        <v>64.716666666666669</v>
      </c>
      <c r="D7">
        <f t="shared" si="0"/>
        <v>4063</v>
      </c>
      <c r="E7">
        <f t="shared" si="1"/>
        <v>67.716666666666669</v>
      </c>
    </row>
    <row r="8" spans="1:9" x14ac:dyDescent="0.3">
      <c r="A8">
        <v>-2.6080000000000001</v>
      </c>
      <c r="B8">
        <v>3866</v>
      </c>
      <c r="C8">
        <v>64.433333333333337</v>
      </c>
      <c r="D8">
        <f t="shared" si="0"/>
        <v>4046</v>
      </c>
      <c r="E8">
        <f t="shared" si="1"/>
        <v>67.433333333333337</v>
      </c>
    </row>
    <row r="9" spans="1:9" x14ac:dyDescent="0.3">
      <c r="A9">
        <v>-2.5</v>
      </c>
      <c r="B9">
        <v>3762</v>
      </c>
      <c r="C9">
        <v>62.7</v>
      </c>
      <c r="D9">
        <f t="shared" si="0"/>
        <v>3942</v>
      </c>
      <c r="E9">
        <f t="shared" si="1"/>
        <v>65.7</v>
      </c>
    </row>
    <row r="10" spans="1:9" x14ac:dyDescent="0.3">
      <c r="A10">
        <v>-2.2090000000000001</v>
      </c>
      <c r="B10">
        <v>3539.0000000000005</v>
      </c>
      <c r="C10">
        <v>58.983333333333341</v>
      </c>
      <c r="D10">
        <f t="shared" si="0"/>
        <v>3719.0000000000005</v>
      </c>
      <c r="E10">
        <f t="shared" si="1"/>
        <v>61.983333333333341</v>
      </c>
    </row>
    <row r="11" spans="1:9" x14ac:dyDescent="0.3">
      <c r="A11">
        <v>-2.1429999999999998</v>
      </c>
      <c r="B11">
        <v>3523</v>
      </c>
      <c r="C11">
        <v>58.716666666666669</v>
      </c>
      <c r="D11">
        <f t="shared" si="0"/>
        <v>3703</v>
      </c>
      <c r="E11">
        <f t="shared" si="1"/>
        <v>61.716666666666669</v>
      </c>
    </row>
    <row r="12" spans="1:9" x14ac:dyDescent="0.3">
      <c r="A12">
        <v>-2.0030000000000001</v>
      </c>
      <c r="B12">
        <v>3411.9999999999995</v>
      </c>
      <c r="C12">
        <v>56.86666666666666</v>
      </c>
      <c r="D12">
        <f t="shared" si="0"/>
        <v>3591.9999999999995</v>
      </c>
      <c r="E12">
        <f t="shared" si="1"/>
        <v>59.86666666666666</v>
      </c>
    </row>
    <row r="13" spans="1:9" x14ac:dyDescent="0.3">
      <c r="A13">
        <v>-1.895</v>
      </c>
      <c r="B13">
        <v>3336.0000000000005</v>
      </c>
      <c r="C13">
        <v>55.600000000000009</v>
      </c>
      <c r="D13">
        <f t="shared" si="0"/>
        <v>3516.0000000000005</v>
      </c>
      <c r="E13">
        <f t="shared" si="1"/>
        <v>58.600000000000009</v>
      </c>
    </row>
    <row r="14" spans="1:9" x14ac:dyDescent="0.3">
      <c r="A14">
        <v>-1.9630000000000001</v>
      </c>
      <c r="B14">
        <v>3316</v>
      </c>
      <c r="C14">
        <v>55.266666666666666</v>
      </c>
      <c r="D14">
        <f t="shared" si="0"/>
        <v>3496</v>
      </c>
      <c r="E14">
        <f t="shared" si="1"/>
        <v>58.266666666666666</v>
      </c>
    </row>
    <row r="15" spans="1:9" x14ac:dyDescent="0.3">
      <c r="A15">
        <v>-1.778</v>
      </c>
      <c r="B15">
        <v>3189.9999999999995</v>
      </c>
      <c r="C15">
        <v>53.166666666666657</v>
      </c>
      <c r="D15">
        <f t="shared" si="0"/>
        <v>3369.9999999999995</v>
      </c>
      <c r="E15">
        <f t="shared" si="1"/>
        <v>56.166666666666657</v>
      </c>
    </row>
    <row r="16" spans="1:9" x14ac:dyDescent="0.3">
      <c r="A16">
        <v>-1.7070000000000001</v>
      </c>
      <c r="B16">
        <v>3148.0000000000005</v>
      </c>
      <c r="C16">
        <v>52.466666666666676</v>
      </c>
      <c r="D16">
        <f t="shared" si="0"/>
        <v>3328.0000000000005</v>
      </c>
      <c r="E16">
        <f t="shared" si="1"/>
        <v>55.466666666666676</v>
      </c>
    </row>
    <row r="17" spans="1:5" x14ac:dyDescent="0.3">
      <c r="A17">
        <v>-1.607</v>
      </c>
      <c r="B17">
        <v>3079.9999999999995</v>
      </c>
      <c r="C17">
        <v>51.333333333333329</v>
      </c>
      <c r="D17">
        <f t="shared" si="0"/>
        <v>3259.9999999999995</v>
      </c>
      <c r="E17">
        <f t="shared" si="1"/>
        <v>54.333333333333329</v>
      </c>
    </row>
    <row r="18" spans="1:5" x14ac:dyDescent="0.3">
      <c r="A18">
        <v>-1.5149999999999999</v>
      </c>
      <c r="B18">
        <v>3064.0000000000005</v>
      </c>
      <c r="C18">
        <v>51.066666666666677</v>
      </c>
      <c r="D18">
        <f t="shared" si="0"/>
        <v>3244.0000000000005</v>
      </c>
      <c r="E18">
        <f t="shared" si="1"/>
        <v>54.066666666666677</v>
      </c>
    </row>
    <row r="19" spans="1:5" x14ac:dyDescent="0.3">
      <c r="A19">
        <v>-1.375</v>
      </c>
      <c r="B19">
        <v>2974</v>
      </c>
      <c r="C19">
        <v>49.56666666666667</v>
      </c>
      <c r="D19">
        <f t="shared" si="0"/>
        <v>3154</v>
      </c>
      <c r="E19">
        <f t="shared" si="1"/>
        <v>52.56666666666667</v>
      </c>
    </row>
    <row r="20" spans="1:5" x14ac:dyDescent="0.3">
      <c r="A20">
        <v>-1.339</v>
      </c>
      <c r="B20">
        <v>2946</v>
      </c>
      <c r="C20">
        <v>49.1</v>
      </c>
      <c r="D20">
        <f t="shared" si="0"/>
        <v>3126</v>
      </c>
      <c r="E20">
        <f t="shared" si="1"/>
        <v>52.1</v>
      </c>
    </row>
    <row r="21" spans="1:5" x14ac:dyDescent="0.3">
      <c r="A21">
        <v>-1.1950000000000001</v>
      </c>
      <c r="B21">
        <v>2863</v>
      </c>
      <c r="C21">
        <v>47.716666666666669</v>
      </c>
      <c r="D21">
        <f t="shared" si="0"/>
        <v>3043</v>
      </c>
      <c r="E21">
        <f t="shared" si="1"/>
        <v>50.716666666666669</v>
      </c>
    </row>
    <row r="22" spans="1:5" x14ac:dyDescent="0.3">
      <c r="A22">
        <v>-1.091</v>
      </c>
      <c r="B22">
        <v>2815</v>
      </c>
      <c r="C22">
        <v>46.916666666666664</v>
      </c>
      <c r="D22">
        <f t="shared" si="0"/>
        <v>2995</v>
      </c>
      <c r="E22">
        <f t="shared" si="1"/>
        <v>49.916666666666664</v>
      </c>
    </row>
    <row r="23" spans="1:5" x14ac:dyDescent="0.3">
      <c r="A23">
        <v>-0.98899999999999999</v>
      </c>
      <c r="B23">
        <v>2709</v>
      </c>
      <c r="C23">
        <v>45.15</v>
      </c>
      <c r="D23">
        <f t="shared" si="0"/>
        <v>2889</v>
      </c>
      <c r="E23">
        <f t="shared" si="1"/>
        <v>48.15</v>
      </c>
    </row>
    <row r="24" spans="1:5" x14ac:dyDescent="0.3">
      <c r="A24">
        <v>-1</v>
      </c>
      <c r="B24">
        <v>2697</v>
      </c>
      <c r="C24">
        <v>44.95</v>
      </c>
      <c r="D24">
        <f t="shared" si="0"/>
        <v>2877</v>
      </c>
      <c r="E24">
        <f t="shared" si="1"/>
        <v>47.95</v>
      </c>
    </row>
    <row r="25" spans="1:5" x14ac:dyDescent="0.3">
      <c r="A25">
        <v>-0.5</v>
      </c>
      <c r="B25">
        <v>2469</v>
      </c>
      <c r="C25">
        <v>41.15</v>
      </c>
      <c r="D25">
        <f t="shared" si="0"/>
        <v>2649</v>
      </c>
      <c r="E25">
        <f t="shared" si="1"/>
        <v>44.15</v>
      </c>
    </row>
    <row r="26" spans="1:5" x14ac:dyDescent="0.3">
      <c r="A26">
        <v>0</v>
      </c>
      <c r="B26">
        <v>2269</v>
      </c>
      <c r="C26">
        <v>37.81666666666667</v>
      </c>
      <c r="D26">
        <f t="shared" si="0"/>
        <v>2449</v>
      </c>
      <c r="E26">
        <f t="shared" si="1"/>
        <v>40.81666666666667</v>
      </c>
    </row>
    <row r="27" spans="1:5" x14ac:dyDescent="0.3">
      <c r="A27">
        <v>0.42099999999999999</v>
      </c>
      <c r="B27">
        <v>2124</v>
      </c>
      <c r="C27">
        <v>35.4</v>
      </c>
      <c r="D27">
        <f t="shared" si="0"/>
        <v>2304</v>
      </c>
      <c r="E27">
        <f t="shared" si="1"/>
        <v>38.4</v>
      </c>
    </row>
    <row r="28" spans="1:5" x14ac:dyDescent="0.3">
      <c r="A28">
        <v>0.98899999999999999</v>
      </c>
      <c r="B28">
        <v>1918.9999999999998</v>
      </c>
      <c r="C28">
        <v>31.983333333333331</v>
      </c>
      <c r="D28">
        <f t="shared" si="0"/>
        <v>2099</v>
      </c>
      <c r="E28">
        <f t="shared" si="1"/>
        <v>34.983333333333334</v>
      </c>
    </row>
    <row r="29" spans="1:5" x14ac:dyDescent="0.3">
      <c r="A29">
        <v>1.5</v>
      </c>
      <c r="B29">
        <v>1753.9999999999998</v>
      </c>
      <c r="C29">
        <v>29.233333333333331</v>
      </c>
      <c r="D29">
        <f t="shared" si="0"/>
        <v>1933.9999999999998</v>
      </c>
      <c r="E29">
        <f t="shared" si="1"/>
        <v>32.233333333333334</v>
      </c>
    </row>
    <row r="30" spans="1:5" x14ac:dyDescent="0.3">
      <c r="A30">
        <v>2</v>
      </c>
      <c r="B30">
        <v>1609.0000000000002</v>
      </c>
      <c r="C30">
        <v>26.81666666666667</v>
      </c>
      <c r="D30">
        <f t="shared" si="0"/>
        <v>1789.0000000000002</v>
      </c>
      <c r="E30">
        <f t="shared" si="1"/>
        <v>29.81666666666667</v>
      </c>
    </row>
    <row r="31" spans="1:5" x14ac:dyDescent="0.3">
      <c r="A31">
        <v>2.3199999999999998</v>
      </c>
      <c r="B31">
        <v>1527</v>
      </c>
      <c r="C31">
        <v>25.45</v>
      </c>
      <c r="D31">
        <f t="shared" si="0"/>
        <v>1707</v>
      </c>
      <c r="E31">
        <f t="shared" si="1"/>
        <v>28.45</v>
      </c>
    </row>
    <row r="32" spans="1:5" x14ac:dyDescent="0.3">
      <c r="A32">
        <v>2.5609999999999999</v>
      </c>
      <c r="B32">
        <v>1464.9999999999998</v>
      </c>
      <c r="C32">
        <v>24.416666666666664</v>
      </c>
      <c r="D32">
        <f t="shared" si="0"/>
        <v>1644.9999999999998</v>
      </c>
      <c r="E32">
        <f t="shared" si="1"/>
        <v>27.416666666666664</v>
      </c>
    </row>
    <row r="33" spans="1:5" x14ac:dyDescent="0.3">
      <c r="A33">
        <v>3.3929999999999998</v>
      </c>
      <c r="B33">
        <v>1250.0000000000002</v>
      </c>
      <c r="C33">
        <v>20.833333333333336</v>
      </c>
      <c r="D33">
        <f t="shared" si="0"/>
        <v>1430.0000000000002</v>
      </c>
      <c r="E33">
        <f t="shared" si="1"/>
        <v>23.833333333333336</v>
      </c>
    </row>
    <row r="34" spans="1:5" x14ac:dyDescent="0.3">
      <c r="A34">
        <v>3.7610000000000001</v>
      </c>
      <c r="B34">
        <v>1166.0000000000002</v>
      </c>
      <c r="C34">
        <v>19.433333333333337</v>
      </c>
      <c r="D34">
        <f t="shared" si="0"/>
        <v>1346.0000000000002</v>
      </c>
      <c r="E34">
        <f t="shared" si="1"/>
        <v>22.433333333333337</v>
      </c>
    </row>
    <row r="35" spans="1:5" x14ac:dyDescent="0.3">
      <c r="A35">
        <v>4.0309999999999997</v>
      </c>
      <c r="B35">
        <v>1100</v>
      </c>
      <c r="C35">
        <v>18.333333333333332</v>
      </c>
      <c r="D35">
        <f t="shared" si="0"/>
        <v>1280</v>
      </c>
      <c r="E35">
        <f t="shared" si="1"/>
        <v>21.333333333333332</v>
      </c>
    </row>
    <row r="36" spans="1:5" x14ac:dyDescent="0.3">
      <c r="A36">
        <v>4.266</v>
      </c>
      <c r="B36">
        <v>1049</v>
      </c>
      <c r="C36">
        <v>17.483333333333334</v>
      </c>
      <c r="D36">
        <f t="shared" si="0"/>
        <v>1229</v>
      </c>
      <c r="E36">
        <f t="shared" si="1"/>
        <v>20.483333333333334</v>
      </c>
    </row>
    <row r="37" spans="1:5" x14ac:dyDescent="0.3">
      <c r="A37">
        <v>4.4859999999999998</v>
      </c>
      <c r="B37">
        <v>998.00000000000034</v>
      </c>
      <c r="C37">
        <v>16.63333333333334</v>
      </c>
      <c r="D37">
        <f t="shared" si="0"/>
        <v>1178.0000000000005</v>
      </c>
      <c r="E37">
        <f t="shared" si="1"/>
        <v>19.63333333333334</v>
      </c>
    </row>
    <row r="38" spans="1:5" x14ac:dyDescent="0.3">
      <c r="A38">
        <v>4.649</v>
      </c>
      <c r="B38">
        <v>966.99999999999989</v>
      </c>
      <c r="C38">
        <v>16.116666666666664</v>
      </c>
      <c r="D38">
        <f t="shared" si="0"/>
        <v>1147</v>
      </c>
      <c r="E38">
        <f t="shared" si="1"/>
        <v>19.116666666666664</v>
      </c>
    </row>
    <row r="39" spans="1:5" x14ac:dyDescent="0.3">
      <c r="A39">
        <v>4.8289999999999997</v>
      </c>
      <c r="B39">
        <v>924.99999999999989</v>
      </c>
      <c r="C39">
        <v>15.416666666666664</v>
      </c>
      <c r="D39">
        <f t="shared" si="0"/>
        <v>1105</v>
      </c>
      <c r="E39">
        <f t="shared" si="1"/>
        <v>18.416666666666664</v>
      </c>
    </row>
    <row r="40" spans="1:5" x14ac:dyDescent="0.3">
      <c r="A40">
        <v>5.2489999999999997</v>
      </c>
      <c r="B40">
        <v>839</v>
      </c>
      <c r="C40">
        <v>13.983333333333333</v>
      </c>
      <c r="D40">
        <f t="shared" si="0"/>
        <v>1019</v>
      </c>
      <c r="E40">
        <f t="shared" si="1"/>
        <v>16.983333333333334</v>
      </c>
    </row>
    <row r="41" spans="1:5" x14ac:dyDescent="0.3">
      <c r="A41">
        <v>5.609</v>
      </c>
      <c r="B41">
        <v>767.00000000000023</v>
      </c>
      <c r="C41">
        <v>12.783333333333337</v>
      </c>
      <c r="D41">
        <f t="shared" si="0"/>
        <v>947.00000000000023</v>
      </c>
      <c r="E41">
        <f t="shared" si="1"/>
        <v>15.783333333333337</v>
      </c>
    </row>
    <row r="42" spans="1:5" x14ac:dyDescent="0.3">
      <c r="A42">
        <v>5.7370000000000001</v>
      </c>
      <c r="B42">
        <v>743</v>
      </c>
      <c r="C42">
        <v>12.383333333333333</v>
      </c>
      <c r="D42">
        <f t="shared" si="0"/>
        <v>923</v>
      </c>
      <c r="E42">
        <f t="shared" si="1"/>
        <v>15.383333333333333</v>
      </c>
    </row>
    <row r="43" spans="1:5" x14ac:dyDescent="0.3">
      <c r="A43">
        <v>5.9290000000000003</v>
      </c>
      <c r="B43">
        <v>706.99999999999977</v>
      </c>
      <c r="C43">
        <v>11.78333333333333</v>
      </c>
      <c r="D43">
        <f t="shared" si="0"/>
        <v>886.99999999999977</v>
      </c>
      <c r="E43">
        <f t="shared" si="1"/>
        <v>14.78333333333333</v>
      </c>
    </row>
    <row r="44" spans="1:5" x14ac:dyDescent="0.3">
      <c r="A44">
        <v>6</v>
      </c>
      <c r="B44">
        <v>690.99999999999989</v>
      </c>
      <c r="C44">
        <v>11.516666666666664</v>
      </c>
      <c r="D44">
        <f t="shared" si="0"/>
        <v>870.99999999999989</v>
      </c>
      <c r="E44">
        <f t="shared" si="1"/>
        <v>14.516666666666664</v>
      </c>
    </row>
    <row r="45" spans="1:5" x14ac:dyDescent="0.3">
      <c r="A45">
        <v>6.2489999999999997</v>
      </c>
      <c r="B45">
        <v>647</v>
      </c>
      <c r="C45">
        <v>10.783333333333333</v>
      </c>
      <c r="D45">
        <f t="shared" si="0"/>
        <v>827</v>
      </c>
      <c r="E45">
        <f t="shared" si="1"/>
        <v>13.783333333333333</v>
      </c>
    </row>
    <row r="46" spans="1:5" x14ac:dyDescent="0.3">
      <c r="A46">
        <v>6.4489999999999998</v>
      </c>
      <c r="B46">
        <v>620</v>
      </c>
      <c r="C46">
        <v>10.333333333333334</v>
      </c>
      <c r="D46">
        <f t="shared" si="0"/>
        <v>800</v>
      </c>
      <c r="E46">
        <f t="shared" si="1"/>
        <v>13.333333333333334</v>
      </c>
    </row>
    <row r="47" spans="1:5" x14ac:dyDescent="0.3">
      <c r="A47">
        <v>6.5890000000000004</v>
      </c>
      <c r="B47">
        <v>581.99999999999989</v>
      </c>
      <c r="C47">
        <v>9.6999999999999975</v>
      </c>
      <c r="D47">
        <f t="shared" si="0"/>
        <v>761.99999999999989</v>
      </c>
      <c r="E47">
        <f t="shared" si="1"/>
        <v>12.699999999999998</v>
      </c>
    </row>
    <row r="48" spans="1:5" x14ac:dyDescent="0.3">
      <c r="A48">
        <v>6.7850000000000001</v>
      </c>
      <c r="B48">
        <v>548.00000000000011</v>
      </c>
      <c r="C48">
        <v>9.1333333333333346</v>
      </c>
      <c r="D48">
        <f t="shared" si="0"/>
        <v>728.00000000000011</v>
      </c>
      <c r="E48">
        <f t="shared" si="1"/>
        <v>12.133333333333335</v>
      </c>
    </row>
    <row r="49" spans="1:5" x14ac:dyDescent="0.3">
      <c r="A49">
        <v>7.2690000000000001</v>
      </c>
      <c r="B49">
        <v>464.00000000000017</v>
      </c>
      <c r="C49">
        <v>7.7333333333333361</v>
      </c>
      <c r="D49">
        <f t="shared" si="0"/>
        <v>644.00000000000023</v>
      </c>
      <c r="E49">
        <f t="shared" si="1"/>
        <v>10.733333333333336</v>
      </c>
    </row>
    <row r="50" spans="1:5" x14ac:dyDescent="0.3">
      <c r="A50">
        <v>7.3929999999999998</v>
      </c>
      <c r="B50">
        <v>443.99999999999989</v>
      </c>
      <c r="C50">
        <v>7.3999999999999977</v>
      </c>
      <c r="D50">
        <f t="shared" si="0"/>
        <v>623.99999999999989</v>
      </c>
      <c r="E50">
        <f t="shared" si="1"/>
        <v>10.399999999999999</v>
      </c>
    </row>
    <row r="51" spans="1:5" x14ac:dyDescent="0.3">
      <c r="A51">
        <v>7.6529999999999996</v>
      </c>
      <c r="B51">
        <v>399</v>
      </c>
      <c r="C51">
        <v>6.65</v>
      </c>
      <c r="D51">
        <f t="shared" si="0"/>
        <v>579</v>
      </c>
      <c r="E51">
        <f t="shared" si="1"/>
        <v>9.65</v>
      </c>
    </row>
    <row r="52" spans="1:5" x14ac:dyDescent="0.3">
      <c r="A52">
        <v>7.9329999999999998</v>
      </c>
      <c r="B52">
        <v>358.99999999999994</v>
      </c>
      <c r="C52">
        <v>5.9833333333333325</v>
      </c>
      <c r="D52">
        <f t="shared" si="0"/>
        <v>539</v>
      </c>
      <c r="E52">
        <f t="shared" si="1"/>
        <v>8.9833333333333325</v>
      </c>
    </row>
    <row r="53" spans="1:5" x14ac:dyDescent="0.3">
      <c r="A53">
        <v>8.5129999999999999</v>
      </c>
      <c r="B53">
        <v>260.00000000000006</v>
      </c>
      <c r="C53">
        <v>4.3333333333333339</v>
      </c>
      <c r="D53">
        <f t="shared" si="0"/>
        <v>440.00000000000006</v>
      </c>
      <c r="E53">
        <f t="shared" si="1"/>
        <v>7.3333333333333339</v>
      </c>
    </row>
    <row r="54" spans="1:5" x14ac:dyDescent="0.3">
      <c r="A54">
        <v>8.8610000000000007</v>
      </c>
      <c r="B54">
        <v>204.00000000000011</v>
      </c>
      <c r="C54">
        <v>3.4000000000000017</v>
      </c>
      <c r="D54">
        <f t="shared" si="0"/>
        <v>384.00000000000011</v>
      </c>
      <c r="E54">
        <f t="shared" si="1"/>
        <v>6.4000000000000021</v>
      </c>
    </row>
    <row r="55" spans="1:5" x14ac:dyDescent="0.3">
      <c r="A55">
        <v>9.2609999999999992</v>
      </c>
      <c r="B55">
        <v>120</v>
      </c>
      <c r="C55">
        <v>2</v>
      </c>
      <c r="D55">
        <f t="shared" si="0"/>
        <v>300</v>
      </c>
      <c r="E55">
        <f t="shared" si="1"/>
        <v>5</v>
      </c>
    </row>
    <row r="56" spans="1:5" x14ac:dyDescent="0.3">
      <c r="A56">
        <v>9.6769999999999996</v>
      </c>
      <c r="B56">
        <v>60</v>
      </c>
      <c r="C56">
        <v>1</v>
      </c>
      <c r="D56">
        <f t="shared" si="0"/>
        <v>240</v>
      </c>
      <c r="E56">
        <f t="shared" si="1"/>
        <v>4</v>
      </c>
    </row>
    <row r="57" spans="1:5" x14ac:dyDescent="0.3">
      <c r="A57">
        <v>10.297000000000001</v>
      </c>
      <c r="B57">
        <v>0</v>
      </c>
      <c r="C57">
        <v>0</v>
      </c>
      <c r="D57">
        <f t="shared" si="0"/>
        <v>180</v>
      </c>
      <c r="E57">
        <f t="shared" si="1"/>
        <v>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C</dc:creator>
  <cp:lastModifiedBy>Tu C</cp:lastModifiedBy>
  <dcterms:created xsi:type="dcterms:W3CDTF">2023-05-12T11:15:00Z</dcterms:created>
  <dcterms:modified xsi:type="dcterms:W3CDTF">2025-03-23T03:31:10Z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